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goos\Documents\"/>
    </mc:Choice>
  </mc:AlternateContent>
  <xr:revisionPtr revIDLastSave="0" documentId="13_ncr:1_{E2DB79E3-9982-4DDD-8E4D-C7D633F0B32D}" xr6:coauthVersionLast="47" xr6:coauthVersionMax="47" xr10:uidLastSave="{00000000-0000-0000-0000-000000000000}"/>
  <bookViews>
    <workbookView xWindow="-120" yWindow="-120" windowWidth="29040" windowHeight="15720" xr2:uid="{2E1A5ED9-1123-42E8-9B91-2AFAA7DA74F0}"/>
  </bookViews>
  <sheets>
    <sheet name="config" sheetId="1" r:id="rId1"/>
    <sheet name="Demo CSV" sheetId="7" r:id="rId2"/>
    <sheet name="Demo JSON" sheetId="8" r:id="rId3"/>
    <sheet name="Demo XLS" sheetId="6" r:id="rId4"/>
  </sheets>
  <definedNames>
    <definedName name="cfg_list_paths">_xlfn.ANCHORARRAY(config!$AA$4)</definedName>
    <definedName name="csv_projects">config!$J$21</definedName>
    <definedName name="DATA.SOURCE">_xlfn.LAMBDA(_xlpm.filepath,_xlpm.subdir,_xlpm.filename,_xlpm.extension,_xlpm.include_date,_xlpm.override_date,_xlpm.replace_pattern,_xlpm.replace_value,      _xlfn.LET(          _xlpm.credits, "https://wordsofcode.gooos.it/articles/2026/dynamic-source-for-data-import-via-power-query/?v=26.9.1",         _xlpm.get_path, INDIRECT( TRIM( _xlpm.filepath ) ),          _xlpm.isURL, _xlfn.REGEXTEST( _xlpm.get_path, "://" ),          _xlpm.seperator, IF( _xlpm.isURL, "/", "\" ),          _xlpm.path, IF( _xlpm.get_path &lt;&gt; "", _xlpm.get_path, "%FILEPATH" &amp; _xlpm.seperator ),          _xlpm.dir, _xlfn.LET(              _xlpm._x1, TRIM( _xlpm.subdir ),              _xlpm._x2, _xlfn.REGEXREPLACE( _xlpm._x1, "^[/\\]+|[/\\]+$", "", 0, 1 ),              _xlpm._x3, IF(                 _xlpm.isURL,                 SUBSTITUTE( _xlpm._x2, "\", "/" ),                 SUBSTITUTE( _xlpm._x2, "/", "\" )             ),              _xlpm._x4, IF( _xlpm._x3 &lt;&gt; "", _xlpm._x3 &amp; _xlpm.seperator, "" ),    _xlpm._x4         ),          _xlpm.use_date, IF( TRIM( _xlpm.include_date ) &lt;&gt; "", TRUE, FALSE ),          _xlpm.the_date, _xlfn.LET(              _xlpm.override, TRIM( _xlpm.override_date ),              _xlpm.custom_format, _xlfn.REGEXREPLACE( TRIM( _xlpm.include_date ), "[^-dmy je]", "", 0, 1 ),              _xlpm.format, IF( OR( _xlpm.include_date=TRUE, _xlpm.include_date=1 ), "emmdd", LOWER( _xlpm.custom_format ) ),              _xlpm._x1, IF( _xlpm.override &lt;&gt; "", _xlpm.override, TEXT( TODAY(), _xlpm.format ) ),              _xlpm._x2, "-" &amp; _xlpm._x1,    _xlpm._x2         ),          _xlpm.ext, _xlfn.LET(              _xlpm._x1, TRIM( _xlpm.extension ),              _xlpm._x2, IF( _xlpm._x1 &lt;&gt; "", "." &amp; _xlfn.REGEXREPLACE( _xlpm._x1, "^\W+", "" ), ".csv" ),    _xlpm._x2         ),          _xlpm.file, _xlfn.LET(              _xlpm._x1, TRIM( _xlpm.filename ),              _xlpm._x2, IF( _xlpm._x1 &lt;&gt; "", _xlpm._x1, "%FILENAME" ),              _xlpm._x3, _xlfn.REGEXREPLACE( _xlpm._x2, _xlpm.ext &amp; "$", "", 0, 1 ),              _xlpm._x4, _xlfn.CONCAT( _xlpm._x3, IF( _xlpm.use_date, _xlpm.the_date, "" ), _xlpm.ext ),              _xlpm._x5, IF( _xlpm.replace_pattern &lt;&gt; "", _xlfn.REGEXREPLACE( _xlpm._x4, _xlpm.replace_pattern, _xlpm.replace_value, 0, 1 ), _xlpm._x4 ),    _xlpm._x5         ),          _xlpm.result, IF(    _xlpm.isURL,    _xlfn.REGEXREPLACE( _xlpm.path &amp; _xlpm.dir &amp; _xlpm.file, "(?&lt;!:)/+", "/", 0, 1 ),    _xlfn.REGEXREPLACE( _xlpm.path &amp; _xlpm.dir &amp; _xlpm.file, "\\+", "\\", 0, 1 )   ),   _xlpm.result     )  )</definedName>
    <definedName name="ExternalData_1" localSheetId="1" hidden="1">'Demo CSV'!$A$1:$P$51</definedName>
    <definedName name="ExternalData_1" localSheetId="2" hidden="1">'Demo JSON'!$A$1:$P$51</definedName>
    <definedName name="ExternalData_3" localSheetId="3" hidden="1">'Demo XLS'!$A$1:$P$51</definedName>
    <definedName name="json_projects">config!$J$23</definedName>
    <definedName name="pad_downloads">config!$B$8</definedName>
    <definedName name="pad_dynamisch">config!$B$7</definedName>
    <definedName name="xls_projects">config!$J$22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A4" i="1" l="1" a="1"/>
  <c r="AA4" i="1" s="1"/>
  <c r="B7" i="1" a="1"/>
  <c r="B7" i="1" s="1"/>
  <c r="C36" i="1" a="1"/>
  <c r="C45" i="1" a="1"/>
  <c r="C42" i="1" a="1"/>
  <c r="C43" i="1" a="1"/>
  <c r="C26" i="1" a="1"/>
  <c r="C35" i="1" a="1"/>
  <c r="C39" i="1" a="1"/>
  <c r="C23" i="1" a="1"/>
  <c r="C38" i="1" a="1"/>
  <c r="C40" i="1" a="1"/>
  <c r="C27" i="1" a="1"/>
  <c r="C32" i="1" a="1"/>
  <c r="C22" i="1" a="1"/>
  <c r="C28" i="1" a="1"/>
  <c r="C33" i="1" a="1"/>
  <c r="C44" i="1" a="1"/>
  <c r="C30" i="1" a="1"/>
  <c r="C41" i="1" a="1"/>
  <c r="C25" i="1" a="1"/>
  <c r="C29" i="1" a="1"/>
  <c r="C34" i="1" a="1"/>
  <c r="C24" i="1" a="1"/>
  <c r="C21" i="1" a="1"/>
  <c r="C37" i="1" a="1"/>
  <c r="C31" i="1" a="1"/>
  <c r="C28" i="1" l="1"/>
  <c r="J28" i="1" s="1" a="1"/>
  <c r="C34" i="1"/>
  <c r="J34" i="1" s="1" a="1"/>
  <c r="C40" i="1"/>
  <c r="J40" i="1" s="1" a="1"/>
  <c r="C29" i="1"/>
  <c r="J29" i="1" s="1" a="1"/>
  <c r="C35" i="1"/>
  <c r="J35" i="1" s="1" a="1"/>
  <c r="C41" i="1"/>
  <c r="J41" i="1" s="1" a="1"/>
  <c r="C30" i="1"/>
  <c r="J30" i="1" s="1" a="1"/>
  <c r="C36" i="1"/>
  <c r="J36" i="1" s="1" a="1"/>
  <c r="C42" i="1"/>
  <c r="J42" i="1" s="1" a="1"/>
  <c r="C25" i="1"/>
  <c r="J25" i="1" s="1" a="1"/>
  <c r="C31" i="1"/>
  <c r="J31" i="1" s="1" a="1"/>
  <c r="C37" i="1"/>
  <c r="J37" i="1" s="1" a="1"/>
  <c r="C26" i="1"/>
  <c r="J26" i="1" s="1" a="1"/>
  <c r="C32" i="1"/>
  <c r="J32" i="1" s="1" a="1"/>
  <c r="C38" i="1"/>
  <c r="J38" i="1" s="1" a="1"/>
  <c r="C44" i="1"/>
  <c r="J44" i="1" s="1" a="1"/>
  <c r="C27" i="1"/>
  <c r="J27" i="1" s="1" a="1"/>
  <c r="C45" i="1"/>
  <c r="J45" i="1" s="1" a="1"/>
  <c r="C39" i="1"/>
  <c r="J39" i="1" s="1" a="1"/>
  <c r="C24" i="1"/>
  <c r="J24" i="1" s="1" a="1"/>
  <c r="C33" i="1"/>
  <c r="J33" i="1" s="1" a="1"/>
  <c r="C43" i="1"/>
  <c r="J43" i="1" s="1" a="1"/>
  <c r="C22" i="1"/>
  <c r="C23" i="1"/>
  <c r="C21" i="1"/>
  <c r="J23" i="1" a="1"/>
  <c r="J21" i="1" a="1"/>
  <c r="J22" i="1" a="1"/>
  <c r="J21" i="1" l="1"/>
  <c r="J37" i="1"/>
  <c r="J31" i="1"/>
  <c r="J24" i="1"/>
  <c r="J41" i="1"/>
  <c r="J43" i="1"/>
  <c r="J33" i="1"/>
  <c r="J27" i="1"/>
  <c r="J25" i="1"/>
  <c r="J29" i="1"/>
  <c r="J39" i="1"/>
  <c r="J30" i="1"/>
  <c r="J32" i="1"/>
  <c r="J34" i="1"/>
  <c r="J40" i="1"/>
  <c r="J28" i="1"/>
  <c r="J26" i="1"/>
  <c r="J35" i="1"/>
  <c r="J36" i="1"/>
  <c r="J38" i="1"/>
  <c r="J42" i="1"/>
  <c r="J44" i="1"/>
  <c r="J23" i="1"/>
  <c r="J22" i="1"/>
  <c r="J4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5960A7-D0DF-4592-9D31-8C83D0982210}" keepAlive="1" name="Query - CleanText" description="Verbinding maken met de query CleanText in de werkmap." type="5" refreshedVersion="0" background="1">
    <dbPr connection="Provider=Microsoft.Mashup.OleDb.1;Data Source=$Workbook$;Location=CleanText;Extended Properties=&quot;&quot;" command="SELECT * FROM [CleanText]"/>
  </connection>
  <connection id="2" xr16:uid="{14386E3A-0400-4478-9237-88D89D9FDD06}" keepAlive="1" name="Query - Demo CSV" description="Verbinding maken met de query Demo CSV in de werkmap." type="5" refreshedVersion="8" background="1" saveData="1">
    <dbPr connection="Provider=Microsoft.Mashup.OleDb.1;Data Source=$Workbook$;Location=&quot;Demo CSV&quot;;Extended Properties=&quot;&quot;" command="SELECT * FROM [Demo CSV]"/>
  </connection>
  <connection id="3" xr16:uid="{A4280AEC-058C-49EB-818A-C34C46329CA5}" keepAlive="1" name="Query - Demo JSON" description="Verbinding maken met de query Demo JSON in de werkmap." type="5" refreshedVersion="8" background="1" saveData="1">
    <dbPr connection="Provider=Microsoft.Mashup.OleDb.1;Data Source=$Workbook$;Location=&quot;Demo JSON&quot;;Extended Properties=&quot;&quot;" command="SELECT * FROM [Demo JSON]"/>
  </connection>
  <connection id="4" xr16:uid="{FBB444DB-74E1-474E-B599-CA929C8F28C3}" keepAlive="1" name="Query - Demo XLS" description="Verbinding maken met de query Demo XLS in de werkmap." type="5" refreshedVersion="8" background="1" saveData="1">
    <dbPr connection="Provider=Microsoft.Mashup.OleDb.1;Data Source=$Workbook$;Location=&quot;Demo XLS&quot;;Extended Properties=&quot;&quot;" command="SELECT * FROM [Demo XLS]"/>
  </connection>
  <connection id="5" xr16:uid="{C3BA237D-CE78-4552-85BC-C300C8327207}" keepAlive="1" name="Query - LoadCSV" description="Verbinding maken met de query LoadCSV in de werkmap." type="5" refreshedVersion="0" background="1">
    <dbPr connection="Provider=Microsoft.Mashup.OleDb.1;Data Source=$Workbook$;Location=LoadCSV;Extended Properties=&quot;&quot;" command="SELECT * FROM [LoadCSV]"/>
  </connection>
  <connection id="6" xr16:uid="{6E473BEB-4C11-45BA-BA77-A6C97BA556F8}" keepAlive="1" name="Query - LoadJSON" description="Verbinding maken met de query LoadJSON in de werkmap." type="5" refreshedVersion="0" background="1">
    <dbPr connection="Provider=Microsoft.Mashup.OleDb.1;Data Source=$Workbook$;Location=LoadJSON;Extended Properties=&quot;&quot;" command="SELECT * FROM [LoadJSON]"/>
  </connection>
  <connection id="7" xr16:uid="{D595A35C-90B4-4900-B1BD-0406BB9BC359}" keepAlive="1" name="Query - LoadXLS" description="Verbinding maken met de query LoadXLS in de werkmap." type="5" refreshedVersion="0" background="1">
    <dbPr connection="Provider=Microsoft.Mashup.OleDb.1;Data Source=$Workbook$;Location=LoadXLS;Extended Properties=&quot;&quot;" command="SELECT * FROM [LoadXLS]"/>
  </connection>
  <connection id="8" xr16:uid="{AF6E5A29-5552-4E80-9D6F-684C663AA0A7}" keepAlive="1" name="Query - Query11" description="Verbinding maken met de query Query1 in de werkmap." type="5" refreshedVersion="0" background="1" saveData="1">
    <dbPr connection="Provider=Microsoft.Mashup.OleDb.1;Data Source=$Workbook$;Location=Query1;Extended Properties=&quot;&quot;" command="SELECT * FROM [Query1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<sst xmlns="http://schemas.openxmlformats.org/spreadsheetml/2006/main" count="96" uniqueCount="55">
  <si>
    <t>Regio</t>
  </si>
  <si>
    <t>Status</t>
  </si>
  <si>
    <t>Bestandslocatie</t>
  </si>
  <si>
    <t>Bestandsnaam (basis)</t>
  </si>
  <si>
    <t>REGEX zoekpatroon</t>
  </si>
  <si>
    <t>REGEX vervangen met</t>
  </si>
  <si>
    <t>Databron (bestandslocatie met bestandsnaam)</t>
  </si>
  <si>
    <t>Bestandsextensie</t>
  </si>
  <si>
    <t>csv</t>
  </si>
  <si>
    <t>Subfolder</t>
  </si>
  <si>
    <t>Met datum?</t>
  </si>
  <si>
    <t>pad_dynamisch</t>
  </si>
  <si>
    <t>pad_downloads</t>
  </si>
  <si>
    <t>STAP 3 - POWER QUERY (ALT + F12)</t>
  </si>
  <si>
    <t>STAP 2 - DATABRONNEN DEFINIËREN</t>
  </si>
  <si>
    <t>STAP 1 - BESTANDSLOCATIES INSTELLEN</t>
  </si>
  <si>
    <t>Kolom1</t>
  </si>
  <si>
    <t>Kolom2</t>
  </si>
  <si>
    <t>Kolom3</t>
  </si>
  <si>
    <t>Kolom4</t>
  </si>
  <si>
    <t>Kolom5</t>
  </si>
  <si>
    <t>Kolom6</t>
  </si>
  <si>
    <t>Kolom7</t>
  </si>
  <si>
    <t>niet bewerken / verwijderen</t>
  </si>
  <si>
    <t>xlsx</t>
  </si>
  <si>
    <t>Projectnaam</t>
  </si>
  <si>
    <t>Project_ID</t>
  </si>
  <si>
    <t>Categorie</t>
  </si>
  <si>
    <t>Afdeling</t>
  </si>
  <si>
    <t>Projectleider</t>
  </si>
  <si>
    <t>Opdrachtgever</t>
  </si>
  <si>
    <t>Prioriteit</t>
  </si>
  <si>
    <t>Startdatum</t>
  </si>
  <si>
    <t>Einddatum_gepland</t>
  </si>
  <si>
    <t>Einddatum_werkelijk</t>
  </si>
  <si>
    <t>Voortgang_pct</t>
  </si>
  <si>
    <t>Budget_EUR</t>
  </si>
  <si>
    <t>Kosten_EUR</t>
  </si>
  <si>
    <t>Risico</t>
  </si>
  <si>
    <t>ID</t>
  </si>
  <si>
    <t>ddmme</t>
  </si>
  <si>
    <t>20260927</t>
  </si>
  <si>
    <t>json</t>
  </si>
  <si>
    <t>cfg_list_filepaths:</t>
  </si>
  <si>
    <t>https://github.com/words-of-code/Excel/tree/main/Dynamic Data Sources for Power Query/</t>
  </si>
  <si>
    <t>Datum overschrijven met</t>
  </si>
  <si>
    <t>C:\Users\_GEBRUIKERSNAAM_\Downloads\</t>
  </si>
  <si>
    <t>HANDLEIDING &amp; UPDATES</t>
  </si>
  <si>
    <t>demo_projects</t>
  </si>
  <si>
    <t>csv_projects</t>
  </si>
  <si>
    <t>xls_projects</t>
  </si>
  <si>
    <t>json_projects</t>
  </si>
  <si>
    <t>(CTRL +) ALT + F5 om te verversen</t>
  </si>
  <si>
    <t>2026-Q3</t>
  </si>
  <si>
    <t>27-09-2026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</si>
</sst>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2" tint="-9.9978637043366805E-2"/>
      <name val="Aptos Narrow"/>
      <family val="2"/>
      <scheme val="minor"/>
    </font>
    <font>
      <b/>
      <sz val="11"/>
      <color theme="2" tint="-9.9978637043366805E-2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0">
    <xf numFmtId="0" fontId="0" fillId="0" borderId="0" xfId="0"/>
    <xf numFmtId="0" fontId="3" fillId="0" borderId="0" xfId="0" applyFont="1" applyAlignment="1">
      <alignment horizontal="left"/>
    </xf>
    <xf numFmtId="0" fontId="1" fillId="4" borderId="0" xfId="0" applyFont="1" applyFill="1"/>
    <xf numFmtId="0" fontId="1" fillId="2" borderId="0" xfId="0" applyFont="1" applyFill="1"/>
    <xf numFmtId="0" fontId="1" fillId="3" borderId="0" xfId="0" applyFont="1" applyFill="1" applyAlignment="1">
      <alignment horizontal="left"/>
    </xf>
    <xf numFmtId="0" fontId="6" fillId="2" borderId="0" xfId="0" applyFont="1" applyFill="1"/>
    <xf numFmtId="0" fontId="2" fillId="5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0" fillId="5" borderId="3" xfId="0" applyFill="1" applyBorder="1"/>
    <xf numFmtId="0" fontId="0" fillId="0" borderId="3" xfId="0" applyBorder="1"/>
    <xf numFmtId="0" fontId="0" fillId="0" borderId="4" xfId="0" applyBorder="1"/>
    <xf numFmtId="0" fontId="4" fillId="0" borderId="3" xfId="1" applyBorder="1"/>
    <xf numFmtId="0" fontId="4" fillId="0" borderId="4" xfId="1" applyBorder="1"/>
    <xf numFmtId="0" fontId="0" fillId="5" borderId="5" xfId="0" applyFill="1" applyBorder="1"/>
    <xf numFmtId="0" fontId="4" fillId="0" borderId="5" xfId="1" applyBorder="1"/>
    <xf numFmtId="0" fontId="4" fillId="0" borderId="6" xfId="1" applyBorder="1"/>
    <xf numFmtId="0" fontId="2" fillId="6" borderId="1" xfId="0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5" borderId="5" xfId="0" applyFill="1" applyBorder="1" applyAlignment="1">
      <alignment horizontal="left"/>
    </xf>
    <xf numFmtId="0" fontId="0" fillId="0" borderId="5" xfId="0" applyBorder="1" applyAlignment="1">
      <alignment horizontal="left"/>
    </xf>
    <xf numFmtId="0" fontId="2" fillId="0" borderId="0" xfId="0" applyFont="1"/>
    <xf numFmtId="0" fontId="8" fillId="0" borderId="0" xfId="0" applyFont="1"/>
    <xf numFmtId="0" fontId="0" fillId="0" borderId="3" xfId="0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9" fillId="0" borderId="0" xfId="0" applyFont="1"/>
    <xf numFmtId="14" fontId="0" fillId="0" borderId="0" xfId="0" applyNumberFormat="1"/>
    <xf numFmtId="0" fontId="4" fillId="0" borderId="0" xfId="1"/>
    <xf numFmtId="0" fontId="5" fillId="0" borderId="0" xfId="0" applyFont="1"/>
    <xf numFmtId="0" fontId="0" fillId="0" borderId="3" xfId="0" quotePrefix="1" applyBorder="1" applyAlignment="1">
      <alignment horizontal="left"/>
    </xf>
  </cellXfs>
  <cellStyles count="2">
    <cellStyle name="Hyperlink" xfId="1" builtinId="8"/>
    <cellStyle name="Standaard" xfId="0" builtinId="0"/>
  </cellStyles>
  <dxfs count="5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border diagonalUp="0" diagonalDown="0">
        <left/>
        <right style="thin">
          <color indexed="64"/>
        </right>
        <top style="hair">
          <color indexed="64"/>
        </top>
        <bottom style="hair">
          <color indexed="64"/>
        </bottom>
        <vertical/>
        <horizontal style="hair">
          <color indexed="64"/>
        </horizontal>
      </border>
    </dxf>
    <dxf>
      <border diagonalUp="0" diagonalDown="0">
        <left/>
        <right/>
        <top style="hair">
          <color indexed="64"/>
        </top>
        <bottom style="hair">
          <color indexed="64"/>
        </bottom>
        <vertical/>
        <horizontal style="hair">
          <color indexed="64"/>
        </horizontal>
      </border>
    </dxf>
    <dxf>
      <border diagonalUp="0" diagonalDown="0">
        <left/>
        <right/>
        <top style="hair">
          <color indexed="64"/>
        </top>
        <bottom style="hair">
          <color indexed="64"/>
        </bottom>
        <vertical/>
        <horizontal style="hair">
          <color indexed="64"/>
        </horizontal>
      </border>
    </dxf>
    <dxf>
      <border diagonalUp="0" diagonalDown="0">
        <left/>
        <right/>
        <top style="hair">
          <color indexed="64"/>
        </top>
        <bottom style="hair">
          <color indexed="64"/>
        </bottom>
        <vertical/>
        <horizontal style="hair">
          <color indexed="64"/>
        </horizontal>
      </border>
    </dxf>
    <dxf>
      <border diagonalUp="0" diagonalDown="0">
        <left/>
        <right/>
        <top style="hair">
          <color indexed="64"/>
        </top>
        <bottom style="hair">
          <color indexed="64"/>
        </bottom>
        <vertical/>
        <horizontal style="hair">
          <color indexed="64"/>
        </horizontal>
      </border>
    </dxf>
    <dxf>
      <border diagonalUp="0" diagonalDown="0">
        <left/>
        <right/>
        <top style="hair">
          <color indexed="64"/>
        </top>
        <bottom style="hair">
          <color indexed="64"/>
        </bottom>
        <vertical/>
        <horizontal style="hair">
          <color indexed="64"/>
        </horizontal>
      </border>
    </dxf>
    <dxf>
      <border diagonalUp="0" diagonalDown="0">
        <left/>
        <right/>
        <top style="hair">
          <color indexed="64"/>
        </top>
        <bottom style="hair">
          <color indexed="64"/>
        </bottom>
        <vertical/>
        <horizontal style="hair">
          <color indexed="64"/>
        </horizontal>
      </border>
    </dxf>
    <dxf>
      <border diagonalUp="0" diagonalDown="0">
        <left/>
        <right/>
        <top style="hair">
          <color indexed="64"/>
        </top>
        <bottom style="hair">
          <color indexed="64"/>
        </bottom>
        <vertical/>
        <horizontal style="hair">
          <color indexed="64"/>
        </horizontal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/>
        <right/>
        <top style="hair">
          <color indexed="64"/>
        </top>
        <bottom style="hair">
          <color indexed="64"/>
        </bottom>
        <vertical/>
        <horizontal style="hair">
          <color indexed="64"/>
        </horizontal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70C0"/>
        </patternFill>
      </fill>
    </dxf>
    <dxf>
      <numFmt numFmtId="0" formatCode="General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/>
        <top/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ill>
        <patternFill patternType="solid">
          <fgColor indexed="64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70FE174-25F2-4AF5-A159-80CD76BE895B}" autoFormatId="16" applyNumberFormats="0" applyBorderFormats="0" applyFontFormats="0" applyPatternFormats="0" applyAlignmentFormats="0" applyWidthHeightFormats="0">
  <queryTableRefresh nextId="17">
    <queryTableFields count="16">
      <queryTableField id="1" name="Project_ID" tableColumnId="1"/>
      <queryTableField id="2" name="Projectnaam" tableColumnId="2"/>
      <queryTableField id="3" name="Categorie" tableColumnId="3"/>
      <queryTableField id="4" name="Afdeling" tableColumnId="4"/>
      <queryTableField id="5" name="Projectleider" tableColumnId="5"/>
      <queryTableField id="6" name="Opdrachtgever" tableColumnId="6"/>
      <queryTableField id="7" name="Prioriteit" tableColumnId="7"/>
      <queryTableField id="8" name="Status" tableColumnId="8"/>
      <queryTableField id="9" name="Startdatum" tableColumnId="9"/>
      <queryTableField id="10" name="Einddatum_gepland" tableColumnId="10"/>
      <queryTableField id="11" name="Einddatum_werkelijk" tableColumnId="11"/>
      <queryTableField id="12" name="Voortgang_pct" tableColumnId="12"/>
      <queryTableField id="13" name="Budget_EUR" tableColumnId="13"/>
      <queryTableField id="14" name="Kosten_EUR" tableColumnId="14"/>
      <queryTableField id="15" name="Risico" tableColumnId="15"/>
      <queryTableField id="16" name="Regio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CBBD2E4-1D92-48EA-B8A0-B6AD38833B0D}" autoFormatId="16" applyNumberFormats="0" applyBorderFormats="0" applyFontFormats="0" applyPatternFormats="0" applyAlignmentFormats="0" applyWidthHeightFormats="0">
  <queryTableRefresh nextId="17">
    <queryTableFields count="16">
      <queryTableField id="1" name="Project_ID" tableColumnId="1"/>
      <queryTableField id="2" name="Projectnaam" tableColumnId="2"/>
      <queryTableField id="3" name="Categorie" tableColumnId="3"/>
      <queryTableField id="4" name="Afdeling" tableColumnId="4"/>
      <queryTableField id="5" name="Projectleider" tableColumnId="5"/>
      <queryTableField id="6" name="Opdrachtgever" tableColumnId="6"/>
      <queryTableField id="7" name="Prioriteit" tableColumnId="7"/>
      <queryTableField id="8" name="Status" tableColumnId="8"/>
      <queryTableField id="9" name="Startdatum" tableColumnId="9"/>
      <queryTableField id="10" name="Einddatum_gepland" tableColumnId="10"/>
      <queryTableField id="11" name="Einddatum_werkelijk" tableColumnId="11"/>
      <queryTableField id="12" name="Voortgang_pct" tableColumnId="12"/>
      <queryTableField id="13" name="Budget_EUR" tableColumnId="13"/>
      <queryTableField id="14" name="Kosten_EUR" tableColumnId="14"/>
      <queryTableField id="15" name="Risico" tableColumnId="15"/>
      <queryTableField id="16" name="Regio" tableColumnId="1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3CE8CE4D-B4A5-42DA-836E-6C397209C391}" autoFormatId="16" applyNumberFormats="0" applyBorderFormats="0" applyFontFormats="0" applyPatternFormats="0" applyAlignmentFormats="0" applyWidthHeightFormats="0">
  <queryTableRefresh nextId="33">
    <queryTableFields count="16">
      <queryTableField id="17" name="Project_ID" tableColumnId="17"/>
      <queryTableField id="18" name="Projectnaam" tableColumnId="18"/>
      <queryTableField id="19" name="Categorie" tableColumnId="19"/>
      <queryTableField id="20" name="Afdeling" tableColumnId="20"/>
      <queryTableField id="21" name="Projectleider" tableColumnId="21"/>
      <queryTableField id="22" name="Opdrachtgever" tableColumnId="22"/>
      <queryTableField id="23" name="Prioriteit" tableColumnId="23"/>
      <queryTableField id="24" name="Status" tableColumnId="24"/>
      <queryTableField id="25" name="Startdatum" tableColumnId="25"/>
      <queryTableField id="26" name="Einddatum_gepland" tableColumnId="26"/>
      <queryTableField id="27" name="Einddatum_werkelijk" tableColumnId="27"/>
      <queryTableField id="28" name="Voortgang_pct" tableColumnId="28"/>
      <queryTableField id="29" name="Budget_EUR" tableColumnId="29"/>
      <queryTableField id="30" name="Kosten_EUR" tableColumnId="30"/>
      <queryTableField id="31" name="Risico" tableColumnId="31"/>
      <queryTableField id="32" name="Regio" tableColumnId="32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3AED13-9CBE-4C58-8946-1E0203F0B59A}" name="cfg_sources" displayName="cfg_sources" ref="A20:J45" totalsRowShown="0" headerRowDxfId="50" tableBorderDxfId="49">
  <autoFilter ref="A20:J45" xr:uid="{243AED13-9CBE-4C58-8946-1E0203F0B59A}"/>
  <tableColumns count="10">
    <tableColumn id="1" xr3:uid="{374DF0B0-4CE0-4425-BDC7-4750CCCCC24D}" name="ID" dataDxfId="48"/>
    <tableColumn id="2" xr3:uid="{19BA6350-DC78-4E0F-B2A3-EF468F7B49D4}" name="Bestandslocatie" dataDxfId="47"/>
    <tableColumn id="3" xr3:uid="{7AEABA5A-E1A3-43D4-A3A2-DB2C34F759CE}" name="Subfolder" dataDxfId="46">
      <calculatedColumnFormula array="1">IFERROR(IF(_xlfn.REGEXTEST(INDIRECT(cfg_sources[[#This Row],[Bestandslocatie]]), "://"), "brondata", ""),"")</calculatedColumnFormula>
    </tableColumn>
    <tableColumn id="4" xr3:uid="{9E468012-BF1A-4971-94A6-6E64D1D9724A}" name="Bestandsnaam (basis)" dataDxfId="45"/>
    <tableColumn id="5" xr3:uid="{0B61A674-0407-454C-B7A8-068FA21194CD}" name="Bestandsextensie" dataDxfId="44"/>
    <tableColumn id="6" xr3:uid="{E5E2BE14-7C9B-47DA-8EA4-D711C6C34677}" name="Met datum?" dataDxfId="43"/>
    <tableColumn id="7" xr3:uid="{03635881-CF8B-46ED-91B2-0123B579183B}" name="Datum overschrijven met" dataDxfId="42"/>
    <tableColumn id="8" xr3:uid="{7F26D087-AC85-4D29-A914-A2EAB117BD6F}" name="REGEX zoekpatroon" dataDxfId="41"/>
    <tableColumn id="9" xr3:uid="{85E1E00B-E9CC-44B4-9CE0-C427BC3BD4AF}" name="REGEX vervangen met" dataDxfId="40"/>
    <tableColumn id="10" xr3:uid="{B32673EC-C246-4125-A11F-8A4A82C387F7}" name="Databron (bestandslocatie met bestandsnaam)" dataDxfId="39">
      <calculatedColumnFormula array="1">IF(_xlfn.CONCAT(cfg_sources[[#This Row],[Bestandslocatie]:[REGEX vervangen met]])="","-",DATA.SOURCE($B21,$C21,$D21,$E21,$F21,$G21,$H21,$I21))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2DF461-B567-4841-B5F1-017859187041}" name="cfg_paths" displayName="cfg_paths" ref="A6:I16" totalsRowShown="0" headerRowDxfId="38" tableBorderDxfId="37" dataCellStyle="Hyperlink">
  <tableColumns count="9">
    <tableColumn id="1" xr3:uid="{00488D91-276A-4FE6-9882-DEC08340BFB1}" name="ID" dataDxfId="36"/>
    <tableColumn id="2" xr3:uid="{1EDF94EF-270B-4B90-9068-C8D49819439E}" name="Bestandslocatie" dataDxfId="35" dataCellStyle="Hyperlink"/>
    <tableColumn id="3" xr3:uid="{79689D4D-EA87-436A-B100-2AF80B7DBD6B}" name="Kolom1" dataDxfId="34" dataCellStyle="Hyperlink"/>
    <tableColumn id="4" xr3:uid="{C1B8CAC9-D04C-48DE-AADF-1B1DD64CAAA3}" name="Kolom2" dataDxfId="33" dataCellStyle="Hyperlink"/>
    <tableColumn id="5" xr3:uid="{9B04871B-D49F-4F1C-AB5B-A7D535B1531D}" name="Kolom3" dataDxfId="32" dataCellStyle="Hyperlink"/>
    <tableColumn id="6" xr3:uid="{ECE749FB-8FF0-417B-8A5A-8F5B0BA99053}" name="Kolom4" dataDxfId="31" dataCellStyle="Hyperlink"/>
    <tableColumn id="7" xr3:uid="{8C4316A4-044B-413E-BB05-3F2F269631B8}" name="Kolom5" dataDxfId="30" dataCellStyle="Hyperlink"/>
    <tableColumn id="8" xr3:uid="{951C960A-19FF-48B3-8EF2-D363B25735C8}" name="Kolom6" dataDxfId="29" dataCellStyle="Hyperlink"/>
    <tableColumn id="9" xr3:uid="{6B079C84-BD9B-4151-9E9D-DD5447A84852}" name="Kolom7" dataDxfId="28" dataCellStyle="Hyperlink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C629FA6-09A3-4C7B-9515-2CF915542811}" name="Demo_CSV" displayName="Demo_CSV" ref="A1:P51" tableType="queryTable" totalsRowShown="0">
  <autoFilter ref="A1:P51" xr:uid="{6C629FA6-09A3-4C7B-9515-2CF915542811}"/>
  <tableColumns count="16">
    <tableColumn id="1" xr3:uid="{FEED0FFB-34E6-43B7-BE1E-5C6CB8E7F40E}" uniqueName="1" name="Project_ID" queryTableFieldId="1" dataDxfId="27"/>
    <tableColumn id="2" xr3:uid="{95D4F798-D440-4434-B0FF-D71B6081E3A7}" uniqueName="2" name="Projectnaam" queryTableFieldId="2" dataDxfId="26"/>
    <tableColumn id="3" xr3:uid="{992B01C4-B1A0-430C-8D41-B0687A931213}" uniqueName="3" name="Categorie" queryTableFieldId="3" dataDxfId="25"/>
    <tableColumn id="4" xr3:uid="{8DD50EFE-0A9E-4B20-80C3-2C0C6F5D4449}" uniqueName="4" name="Afdeling" queryTableFieldId="4" dataDxfId="24"/>
    <tableColumn id="5" xr3:uid="{F70254B0-129C-482E-A442-6ABD37C55200}" uniqueName="5" name="Projectleider" queryTableFieldId="5" dataDxfId="23"/>
    <tableColumn id="6" xr3:uid="{E19BC787-F754-45BB-9B0D-E800317B8F5A}" uniqueName="6" name="Opdrachtgever" queryTableFieldId="6" dataDxfId="22"/>
    <tableColumn id="7" xr3:uid="{7E1313A5-9EF6-4A74-A8B7-4ADB98D7A0F9}" uniqueName="7" name="Prioriteit" queryTableFieldId="7" dataDxfId="21"/>
    <tableColumn id="8" xr3:uid="{11AB329E-2552-4F1E-AF7B-965CA738DC01}" uniqueName="8" name="Status" queryTableFieldId="8" dataDxfId="20"/>
    <tableColumn id="9" xr3:uid="{57E6EFC5-3E51-4CA8-999D-907B33F7A7EA}" uniqueName="9" name="Startdatum" queryTableFieldId="9" dataDxfId="19"/>
    <tableColumn id="10" xr3:uid="{AAB42422-E2C6-40F3-98D1-D47D061F6522}" uniqueName="10" name="Einddatum_gepland" queryTableFieldId="10" dataDxfId="18"/>
    <tableColumn id="11" xr3:uid="{F7A8C4D0-5031-4E2A-9F30-7675F9CBF935}" uniqueName="11" name="Einddatum_werkelijk" queryTableFieldId="11" dataDxfId="17"/>
    <tableColumn id="12" xr3:uid="{3739D346-F6CA-4A7E-91FC-8EEEC9F000FF}" uniqueName="12" name="Voortgang_pct" queryTableFieldId="12"/>
    <tableColumn id="13" xr3:uid="{F9E0DC93-D8FA-4078-A5A8-AF1A242311BF}" uniqueName="13" name="Budget_EUR" queryTableFieldId="13"/>
    <tableColumn id="14" xr3:uid="{D22E5635-4089-4D7D-9F21-4D47BB49B911}" uniqueName="14" name="Kosten_EUR" queryTableFieldId="14"/>
    <tableColumn id="15" xr3:uid="{47082C6B-DA44-47B0-B6E5-7B3335F50164}" uniqueName="15" name="Risico" queryTableFieldId="15" dataDxfId="16"/>
    <tableColumn id="16" xr3:uid="{D0960E6C-2C86-4E9F-9EDB-C96E40D07CB5}" uniqueName="16" name="Regio" queryTableFieldId="16" dataDxfId="15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6F062F2-BC56-482E-BCD3-EADC75A92FE3}" name="Demo_JSON" displayName="Demo_JSON" ref="A1:P51" tableType="queryTable" totalsRowShown="0">
  <autoFilter ref="A1:P51" xr:uid="{66F062F2-BC56-482E-BCD3-EADC75A92FE3}"/>
  <tableColumns count="16">
    <tableColumn id="1" xr3:uid="{768B2DC3-EDCE-4CA6-9FF2-E4755E1004F7}" uniqueName="1" name="Project_ID" queryTableFieldId="1"/>
    <tableColumn id="2" xr3:uid="{47D0143D-8B29-4197-989E-976B003FFC14}" uniqueName="2" name="Projectnaam" queryTableFieldId="2"/>
    <tableColumn id="3" xr3:uid="{70322250-325A-4FAA-B473-653B6F32B0A0}" uniqueName="3" name="Categorie" queryTableFieldId="3"/>
    <tableColumn id="4" xr3:uid="{958241A7-B711-4D61-973D-D6FBED703670}" uniqueName="4" name="Afdeling" queryTableFieldId="4"/>
    <tableColumn id="5" xr3:uid="{860C5A91-3551-47EC-8A7C-0326BD11F82C}" uniqueName="5" name="Projectleider" queryTableFieldId="5"/>
    <tableColumn id="6" xr3:uid="{01F1638A-2DC6-4045-926A-1EFD7F6ED401}" uniqueName="6" name="Opdrachtgever" queryTableFieldId="6"/>
    <tableColumn id="7" xr3:uid="{745BB9D4-8F26-4E60-98A2-57E2675776A0}" uniqueName="7" name="Prioriteit" queryTableFieldId="7"/>
    <tableColumn id="8" xr3:uid="{D59C01AB-09E5-4A53-B8A3-86BBF8C82E53}" uniqueName="8" name="Status" queryTableFieldId="8"/>
    <tableColumn id="9" xr3:uid="{92117F09-2B47-42C6-9EE2-A26D8998FC68}" uniqueName="9" name="Startdatum" queryTableFieldId="9"/>
    <tableColumn id="10" xr3:uid="{6382AA0C-13F0-458A-BE04-D023566795D2}" uniqueName="10" name="Einddatum_gepland" queryTableFieldId="10"/>
    <tableColumn id="11" xr3:uid="{7B3D0FAD-BBEE-4813-8CB7-FCFBDB4A0769}" uniqueName="11" name="Einddatum_werkelijk" queryTableFieldId="11"/>
    <tableColumn id="12" xr3:uid="{13896ED4-1F2E-4980-BA84-9CACFD0D8AB9}" uniqueName="12" name="Voortgang_pct" queryTableFieldId="12"/>
    <tableColumn id="13" xr3:uid="{78B56F4D-1AD5-40C6-9310-09FC762C4E8C}" uniqueName="13" name="Budget_EUR" queryTableFieldId="13"/>
    <tableColumn id="14" xr3:uid="{5214705E-2768-456A-868D-3FEBD7883228}" uniqueName="14" name="Kosten_EUR" queryTableFieldId="14"/>
    <tableColumn id="15" xr3:uid="{E7E1AE46-73EE-41D7-B379-18D3FA7F55FE}" uniqueName="15" name="Risico" queryTableFieldId="15"/>
    <tableColumn id="16" xr3:uid="{94E6CABE-AE8C-4170-9B0C-EE583AAF5A09}" uniqueName="16" name="Regio" queryTableFieldId="16"/>
  </tableColumns>
  <tableStyleInfo name="TableStyleLight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DAE2E8D-C7FF-490D-B63F-EED3D8F8F6F6}" name="Demo_XLS" displayName="Demo_XLS" ref="A1:P51" tableType="queryTable" totalsRowShown="0">
  <autoFilter ref="A1:P51" xr:uid="{DDAE2E8D-C7FF-490D-B63F-EED3D8F8F6F6}"/>
  <tableColumns count="16">
    <tableColumn id="17" xr3:uid="{0253E53A-40A2-4DC8-A9DD-E43E7FA56125}" uniqueName="17" name="Project_ID" queryTableFieldId="17" dataDxfId="14"/>
    <tableColumn id="18" xr3:uid="{CC51713D-8C64-4013-8757-A5457F2FE0D9}" uniqueName="18" name="Projectnaam" queryTableFieldId="18" dataDxfId="13"/>
    <tableColumn id="19" xr3:uid="{A1C2B82E-44B8-4820-A84A-0772B352AB67}" uniqueName="19" name="Categorie" queryTableFieldId="19" dataDxfId="12"/>
    <tableColumn id="20" xr3:uid="{BDAC9E52-9FB5-415C-A09C-BB68FDEECBDC}" uniqueName="20" name="Afdeling" queryTableFieldId="20" dataDxfId="11"/>
    <tableColumn id="21" xr3:uid="{695E3E88-9634-46FC-ACB8-11F49E458C94}" uniqueName="21" name="Projectleider" queryTableFieldId="21" dataDxfId="10"/>
    <tableColumn id="22" xr3:uid="{40800C44-E907-4858-9480-1D613D69FD66}" uniqueName="22" name="Opdrachtgever" queryTableFieldId="22" dataDxfId="9"/>
    <tableColumn id="23" xr3:uid="{860959CB-7913-4355-B863-A764DB83CDD0}" uniqueName="23" name="Prioriteit" queryTableFieldId="23" dataDxfId="8"/>
    <tableColumn id="24" xr3:uid="{817E512B-CCEF-4AA4-A43E-727AE552BF37}" uniqueName="24" name="Status" queryTableFieldId="24" dataDxfId="7"/>
    <tableColumn id="25" xr3:uid="{0E32CE31-BA04-40BC-AACF-A27111980187}" uniqueName="25" name="Startdatum" queryTableFieldId="25" dataDxfId="6"/>
    <tableColumn id="26" xr3:uid="{51DFA4C1-1FBB-4B30-80AD-83EA699A08D2}" uniqueName="26" name="Einddatum_gepland" queryTableFieldId="26" dataDxfId="5"/>
    <tableColumn id="27" xr3:uid="{4071721A-8AC3-4759-9777-78D3DB85BF00}" uniqueName="27" name="Einddatum_werkelijk" queryTableFieldId="27"/>
    <tableColumn id="28" xr3:uid="{A14EB393-22D2-41B5-AAAA-1644591BEBF8}" uniqueName="28" name="Voortgang_pct" queryTableFieldId="28" dataDxfId="4"/>
    <tableColumn id="29" xr3:uid="{69240D3B-1B4C-43E3-BDDD-B7AC9C94B763}" uniqueName="29" name="Budget_EUR" queryTableFieldId="29" dataDxfId="3"/>
    <tableColumn id="30" xr3:uid="{431A1335-744E-4332-B85D-1D12F08F2F11}" uniqueName="30" name="Kosten_EUR" queryTableFieldId="30" dataDxfId="2"/>
    <tableColumn id="31" xr3:uid="{3AEF5743-4E87-4F42-B1FD-F6387F782FC4}" uniqueName="31" name="Risico" queryTableFieldId="31" dataDxfId="1"/>
    <tableColumn id="32" xr3:uid="{C3CD2FB6-7D42-41F7-BDA8-54296D9F008B}" uniqueName="32" name="Regio" queryTableFieldId="32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words-of-code/Excel/tree/main/Dynamic%20Data%20Sources%20for%20Power%20Query/" TargetMode="Externa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019CF-6990-4A74-B58C-252A4EB9FB22}">
  <dimension ref="A1:AA47"/>
  <sheetViews>
    <sheetView tabSelected="1" workbookViewId="0">
      <selection activeCell="A3" sqref="A3"/>
    </sheetView>
  </sheetViews>
  <sheetFormatPr defaultColWidth="8.85546875" defaultRowHeight="15" x14ac:dyDescent="0.25"/>
  <cols>
    <col min="1" max="1" width="17.85546875" bestFit="1" customWidth="1"/>
    <col min="2" max="2" width="33.42578125" customWidth="1"/>
    <col min="3" max="3" width="12.140625" bestFit="1" customWidth="1"/>
    <col min="4" max="4" width="49.7109375" customWidth="1"/>
    <col min="5" max="5" width="19.7109375" bestFit="1" customWidth="1"/>
    <col min="6" max="6" width="13.85546875" bestFit="1" customWidth="1"/>
    <col min="7" max="7" width="26.42578125" bestFit="1" customWidth="1"/>
    <col min="8" max="8" width="21.28515625" bestFit="1" customWidth="1"/>
    <col min="9" max="9" width="23.42578125" bestFit="1" customWidth="1"/>
    <col min="10" max="10" width="139.7109375" customWidth="1"/>
    <col min="11" max="11" width="8.85546875" style="21"/>
    <col min="12" max="12" width="8.85546875" style="22"/>
    <col min="27" max="27" width="26.7109375" style="22" bestFit="1" customWidth="1"/>
  </cols>
  <sheetData>
    <row r="1" spans="1:27" x14ac:dyDescent="0.25">
      <c r="A1" s="28" t="s">
        <v>47</v>
      </c>
      <c r="B1" s="28"/>
      <c r="C1" s="28"/>
      <c r="D1" s="28"/>
      <c r="E1" s="28"/>
      <c r="F1" s="28"/>
      <c r="G1" s="28"/>
      <c r="H1" s="28"/>
      <c r="I1" s="28"/>
    </row>
    <row r="2" spans="1:27" x14ac:dyDescent="0.25">
      <c r="A2" s="27" t="s">
        <v>44</v>
      </c>
      <c r="AA2" s="25" t="s">
        <v>23</v>
      </c>
    </row>
    <row r="3" spans="1:27" x14ac:dyDescent="0.25">
      <c r="AA3" s="25" t="s">
        <v>43</v>
      </c>
    </row>
    <row r="4" spans="1:27" x14ac:dyDescent="0.25">
      <c r="A4" s="28" t="s">
        <v>15</v>
      </c>
      <c r="B4" s="28"/>
      <c r="AA4" s="22" t="str" cm="1">
        <f t="array" ref="AA4:AA5">_xlfn.UNIQUE(_xlfn._xlws.FILTER(cfg_paths[ID], cfg_paths[ID]&lt;&gt;""))</f>
        <v>pad_dynamisch</v>
      </c>
    </row>
    <row r="5" spans="1:27" x14ac:dyDescent="0.25">
      <c r="AA5" s="22" t="str">
        <v>pad_downloads</v>
      </c>
    </row>
    <row r="6" spans="1:27" x14ac:dyDescent="0.25">
      <c r="A6" s="2" t="s">
        <v>39</v>
      </c>
      <c r="B6" s="3" t="s">
        <v>2</v>
      </c>
      <c r="C6" s="5" t="s">
        <v>16</v>
      </c>
      <c r="D6" s="5" t="s">
        <v>17</v>
      </c>
      <c r="E6" s="5" t="s">
        <v>18</v>
      </c>
      <c r="F6" s="5" t="s">
        <v>19</v>
      </c>
      <c r="G6" s="5" t="s">
        <v>20</v>
      </c>
      <c r="H6" s="5" t="s">
        <v>21</v>
      </c>
      <c r="I6" s="5" t="s">
        <v>22</v>
      </c>
    </row>
    <row r="7" spans="1:27" x14ac:dyDescent="0.25">
      <c r="A7" s="6" t="s">
        <v>11</v>
      </c>
      <c r="B7" s="7" t="str" cm="1">
        <f t="array" aca="1" ref="B7" ca="1">_xlfn.TEXTBEFORE(CELL("filename"), "[")</f>
        <v>C:\Users\sgoos\Documents\</v>
      </c>
      <c r="C7" s="7"/>
      <c r="D7" s="7"/>
      <c r="E7" s="7"/>
      <c r="F7" s="7"/>
      <c r="G7" s="7"/>
      <c r="H7" s="7"/>
      <c r="I7" s="8"/>
      <c r="J7" s="21"/>
    </row>
    <row r="8" spans="1:27" x14ac:dyDescent="0.25">
      <c r="A8" s="9" t="s">
        <v>12</v>
      </c>
      <c r="B8" s="10" t="s">
        <v>46</v>
      </c>
      <c r="C8" s="10"/>
      <c r="D8" s="10"/>
      <c r="E8" s="10"/>
      <c r="F8" s="10"/>
      <c r="G8" s="10"/>
      <c r="H8" s="10"/>
      <c r="I8" s="11"/>
      <c r="J8" s="21"/>
    </row>
    <row r="9" spans="1:27" x14ac:dyDescent="0.25">
      <c r="A9" s="9"/>
      <c r="B9" s="12"/>
      <c r="C9" s="12"/>
      <c r="D9" s="12"/>
      <c r="E9" s="12"/>
      <c r="F9" s="12"/>
      <c r="G9" s="12"/>
      <c r="H9" s="12"/>
      <c r="I9" s="13"/>
      <c r="J9" s="21"/>
    </row>
    <row r="10" spans="1:27" x14ac:dyDescent="0.25">
      <c r="A10" s="9"/>
      <c r="B10" s="12"/>
      <c r="C10" s="12"/>
      <c r="D10" s="12"/>
      <c r="E10" s="12"/>
      <c r="F10" s="12"/>
      <c r="G10" s="12"/>
      <c r="H10" s="12"/>
      <c r="I10" s="13"/>
      <c r="J10" s="21"/>
    </row>
    <row r="11" spans="1:27" x14ac:dyDescent="0.25">
      <c r="A11" s="9"/>
      <c r="B11" s="12"/>
      <c r="C11" s="12"/>
      <c r="D11" s="12"/>
      <c r="E11" s="12"/>
      <c r="F11" s="12"/>
      <c r="G11" s="12"/>
      <c r="H11" s="12"/>
      <c r="I11" s="13"/>
      <c r="J11" s="21"/>
    </row>
    <row r="12" spans="1:27" x14ac:dyDescent="0.25">
      <c r="A12" s="9"/>
      <c r="B12" s="12"/>
      <c r="C12" s="12"/>
      <c r="D12" s="12"/>
      <c r="E12" s="12"/>
      <c r="F12" s="12"/>
      <c r="G12" s="12"/>
      <c r="H12" s="12"/>
      <c r="I12" s="13"/>
      <c r="J12" s="21"/>
    </row>
    <row r="13" spans="1:27" x14ac:dyDescent="0.25">
      <c r="A13" s="9"/>
      <c r="B13" s="12"/>
      <c r="C13" s="12"/>
      <c r="D13" s="12"/>
      <c r="E13" s="12"/>
      <c r="F13" s="12"/>
      <c r="G13" s="12"/>
      <c r="H13" s="12"/>
      <c r="I13" s="13"/>
      <c r="J13" s="21"/>
    </row>
    <row r="14" spans="1:27" x14ac:dyDescent="0.25">
      <c r="A14" s="9"/>
      <c r="B14" s="12"/>
      <c r="C14" s="12"/>
      <c r="D14" s="12"/>
      <c r="E14" s="12"/>
      <c r="F14" s="12"/>
      <c r="G14" s="12"/>
      <c r="H14" s="12"/>
      <c r="I14" s="13"/>
      <c r="J14" s="21"/>
    </row>
    <row r="15" spans="1:27" x14ac:dyDescent="0.25">
      <c r="A15" s="9"/>
      <c r="B15" s="12"/>
      <c r="C15" s="12"/>
      <c r="D15" s="12"/>
      <c r="E15" s="12"/>
      <c r="F15" s="12"/>
      <c r="G15" s="12"/>
      <c r="H15" s="12"/>
      <c r="I15" s="13"/>
      <c r="J15" s="21"/>
    </row>
    <row r="16" spans="1:27" x14ac:dyDescent="0.25">
      <c r="A16" s="14"/>
      <c r="B16" s="15"/>
      <c r="C16" s="15"/>
      <c r="D16" s="15"/>
      <c r="E16" s="15"/>
      <c r="F16" s="15"/>
      <c r="G16" s="15"/>
      <c r="H16" s="15"/>
      <c r="I16" s="16"/>
      <c r="J16" s="21"/>
    </row>
    <row r="17" spans="1:10" x14ac:dyDescent="0.25">
      <c r="B17" s="1"/>
      <c r="J17" s="21"/>
    </row>
    <row r="18" spans="1:10" x14ac:dyDescent="0.25">
      <c r="A18" s="28" t="s">
        <v>14</v>
      </c>
      <c r="B18" s="28"/>
      <c r="J18" s="21"/>
    </row>
    <row r="20" spans="1:10" x14ac:dyDescent="0.25">
      <c r="A20" s="2" t="s">
        <v>39</v>
      </c>
      <c r="B20" s="3" t="s">
        <v>2</v>
      </c>
      <c r="C20" s="3" t="s">
        <v>9</v>
      </c>
      <c r="D20" s="3" t="s">
        <v>3</v>
      </c>
      <c r="E20" s="3" t="s">
        <v>7</v>
      </c>
      <c r="F20" s="3" t="s">
        <v>10</v>
      </c>
      <c r="G20" s="3" t="s">
        <v>45</v>
      </c>
      <c r="H20" s="3" t="s">
        <v>4</v>
      </c>
      <c r="I20" s="3" t="s">
        <v>5</v>
      </c>
      <c r="J20" s="4" t="s">
        <v>6</v>
      </c>
    </row>
    <row r="21" spans="1:10" x14ac:dyDescent="0.25">
      <c r="A21" s="6" t="s">
        <v>49</v>
      </c>
      <c r="B21" s="7" t="s">
        <v>11</v>
      </c>
      <c r="C21" s="7" t="str" cm="1">
        <f t="array" aca="1" ref="C21" ca="1">IFERROR(IF(_xlfn.REGEXTEST(INDIRECT(cfg_sources[[#This Row],[Bestandslocatie]]), "://"), "brondata", ""),"")</f>
        <v/>
      </c>
      <c r="D21" s="7" t="s">
        <v>48</v>
      </c>
      <c r="E21" s="7" t="s">
        <v>8</v>
      </c>
      <c r="F21" s="7" t="b">
        <v>1</v>
      </c>
      <c r="G21" s="24" t="s">
        <v>41</v>
      </c>
      <c r="H21" s="7"/>
      <c r="I21" s="7"/>
      <c r="J21" s="17" t="str" cm="1">
        <f t="array" aca="1" ref="J21" ca="1">IF(_xlfn.CONCAT(cfg_sources[[#This Row],[Bestandslocatie]:[REGEX vervangen met]])="","-",DATA.SOURCE($B21,$C21,$D21,$E21,$F21,$G21,$H21,$I21))</f>
        <v>C:\Users\sgoos\Documents\demo_projects-20260927.csv</v>
      </c>
    </row>
    <row r="22" spans="1:10" x14ac:dyDescent="0.25">
      <c r="A22" s="18" t="s">
        <v>50</v>
      </c>
      <c r="B22" s="7" t="s">
        <v>11</v>
      </c>
      <c r="C22" s="7" t="str" cm="1">
        <f t="array" aca="1" ref="C22" ca="1">IFERROR(IF(_xlfn.REGEXTEST(INDIRECT(cfg_sources[[#This Row],[Bestandslocatie]]), "://"), "brondata", ""),"")</f>
        <v/>
      </c>
      <c r="D22" s="7" t="s">
        <v>48</v>
      </c>
      <c r="E22" s="23" t="s">
        <v>24</v>
      </c>
      <c r="F22" s="7" t="s">
        <v>40</v>
      </c>
      <c r="G22" s="29" t="s">
        <v>54</v>
      </c>
      <c r="H22" s="23"/>
      <c r="I22" s="23"/>
      <c r="J22" s="17" t="str" cm="1">
        <f t="array" aca="1" ref="J22" ca="1">IF(_xlfn.CONCAT(cfg_sources[[#This Row],[Bestandslocatie]:[REGEX vervangen met]])="","-",DATA.SOURCE($B22,$C22,$D22,$E22,$F22,$G22,$H22,$I22))</f>
        <v>C:\Users\sgoos\Documents\demo_projects-27-09-2026.xlsx</v>
      </c>
    </row>
    <row r="23" spans="1:10" x14ac:dyDescent="0.25">
      <c r="A23" s="18" t="s">
        <v>51</v>
      </c>
      <c r="B23" s="7" t="s">
        <v>11</v>
      </c>
      <c r="C23" s="7" t="str" cm="1">
        <f t="array" aca="1" ref="C23" ca="1">IFERROR(IF(_xlfn.REGEXTEST(INDIRECT(cfg_sources[[#This Row],[Bestandslocatie]]), "://"), "brondata", ""),"")</f>
        <v/>
      </c>
      <c r="D23" s="7" t="s">
        <v>48</v>
      </c>
      <c r="E23" s="23" t="s">
        <v>42</v>
      </c>
      <c r="F23" s="7" t="b">
        <v>1</v>
      </c>
      <c r="G23" s="23" t="s">
        <v>53</v>
      </c>
      <c r="H23" s="23"/>
      <c r="I23" s="23"/>
      <c r="J23" s="17" t="str" cm="1">
        <f t="array" aca="1" ref="J23" ca="1">IF(_xlfn.CONCAT(cfg_sources[[#This Row],[Bestandslocatie]:[REGEX vervangen met]])="","-",DATA.SOURCE($B23,$C23,$D23,$E23,$F23,$G23,$H23,$I23))</f>
        <v>C:\Users\sgoos\Documents\demo_projects-2026-Q3.json</v>
      </c>
    </row>
    <row r="24" spans="1:10" x14ac:dyDescent="0.25">
      <c r="A24" s="18"/>
      <c r="B24" s="7"/>
      <c r="C24" s="7" t="str" cm="1">
        <f t="array" aca="1" ref="C24" ca="1">IFERROR(IF(_xlfn.REGEXTEST(INDIRECT(cfg_sources[[#This Row],[Bestandslocatie]]), "://"), "brondata", ""),"")</f>
        <v/>
      </c>
      <c r="D24" s="23"/>
      <c r="E24" s="23"/>
      <c r="F24" s="23"/>
      <c r="G24" s="23"/>
      <c r="H24" s="23"/>
      <c r="I24" s="23"/>
      <c r="J24" s="17" t="str" cm="1">
        <f t="array" aca="1" ref="J24" ca="1">IF(_xlfn.CONCAT(cfg_sources[[#This Row],[Bestandslocatie]:[REGEX vervangen met]])="","-",DATA.SOURCE($B24,$C24,$D24,$E24,$F24,$G24,$H24,$I24))</f>
        <v>-</v>
      </c>
    </row>
    <row r="25" spans="1:10" x14ac:dyDescent="0.25">
      <c r="A25" s="18"/>
      <c r="B25" s="7"/>
      <c r="C25" s="7" t="str" cm="1">
        <f t="array" aca="1" ref="C25" ca="1">IFERROR(IF(_xlfn.REGEXTEST(INDIRECT(cfg_sources[[#This Row],[Bestandslocatie]]), "://"), "brondata", ""),"")</f>
        <v/>
      </c>
      <c r="D25" s="23"/>
      <c r="E25" s="23"/>
      <c r="F25" s="23"/>
      <c r="G25" s="23"/>
      <c r="H25" s="23"/>
      <c r="I25" s="23"/>
      <c r="J25" s="17" t="str" cm="1">
        <f t="array" aca="1" ref="J25" ca="1">IF(_xlfn.CONCAT(cfg_sources[[#This Row],[Bestandslocatie]:[REGEX vervangen met]])="","-",DATA.SOURCE($B25,$C25,$D25,$E25,$F25,$G25,$H25,$I25))</f>
        <v>-</v>
      </c>
    </row>
    <row r="26" spans="1:10" x14ac:dyDescent="0.25">
      <c r="A26" s="18"/>
      <c r="B26" s="7"/>
      <c r="C26" s="7" t="str" cm="1">
        <f t="array" aca="1" ref="C26" ca="1">IFERROR(IF(_xlfn.REGEXTEST(INDIRECT(cfg_sources[[#This Row],[Bestandslocatie]]), "://"), "brondata", ""),"")</f>
        <v/>
      </c>
      <c r="D26" s="23"/>
      <c r="E26" s="23"/>
      <c r="F26" s="23"/>
      <c r="G26" s="23"/>
      <c r="H26" s="23"/>
      <c r="I26" s="23"/>
      <c r="J26" s="17" t="str" cm="1">
        <f t="array" aca="1" ref="J26" ca="1">IF(_xlfn.CONCAT(cfg_sources[[#This Row],[Bestandslocatie]:[REGEX vervangen met]])="","-",DATA.SOURCE($B26,$C26,$D26,$E26,$F26,$G26,$H26,$I26))</f>
        <v>-</v>
      </c>
    </row>
    <row r="27" spans="1:10" x14ac:dyDescent="0.25">
      <c r="A27" s="18"/>
      <c r="B27" s="7"/>
      <c r="C27" s="7" t="str" cm="1">
        <f t="array" aca="1" ref="C27" ca="1">IFERROR(IF(_xlfn.REGEXTEST(INDIRECT(cfg_sources[[#This Row],[Bestandslocatie]]), "://"), "brondata", ""),"")</f>
        <v/>
      </c>
      <c r="D27" s="23"/>
      <c r="E27" s="23"/>
      <c r="F27" s="23"/>
      <c r="G27" s="23"/>
      <c r="H27" s="23"/>
      <c r="I27" s="23"/>
      <c r="J27" s="17" t="str" cm="1">
        <f t="array" aca="1" ref="J27" ca="1">IF(_xlfn.CONCAT(cfg_sources[[#This Row],[Bestandslocatie]:[REGEX vervangen met]])="","-",DATA.SOURCE($B27,$C27,$D27,$E27,$F27,$G27,$H27,$I27))</f>
        <v>-</v>
      </c>
    </row>
    <row r="28" spans="1:10" x14ac:dyDescent="0.25">
      <c r="A28" s="18"/>
      <c r="B28" s="7"/>
      <c r="C28" s="7" t="str" cm="1">
        <f t="array" aca="1" ref="C28" ca="1">IFERROR(IF(_xlfn.REGEXTEST(INDIRECT(cfg_sources[[#This Row],[Bestandslocatie]]), "://"), "brondata", ""),"")</f>
        <v/>
      </c>
      <c r="D28" s="23"/>
      <c r="E28" s="23"/>
      <c r="F28" s="23"/>
      <c r="G28" s="23"/>
      <c r="H28" s="23"/>
      <c r="I28" s="23"/>
      <c r="J28" s="17" t="str" cm="1">
        <f t="array" aca="1" ref="J28" ca="1">IF(_xlfn.CONCAT(cfg_sources[[#This Row],[Bestandslocatie]:[REGEX vervangen met]])="","-",DATA.SOURCE($B28,$C28,$D28,$E28,$F28,$G28,$H28,$I28))</f>
        <v>-</v>
      </c>
    </row>
    <row r="29" spans="1:10" x14ac:dyDescent="0.25">
      <c r="A29" s="18"/>
      <c r="B29" s="7"/>
      <c r="C29" s="7" t="str" cm="1">
        <f t="array" aca="1" ref="C29" ca="1">IFERROR(IF(_xlfn.REGEXTEST(INDIRECT(cfg_sources[[#This Row],[Bestandslocatie]]), "://"), "brondata", ""),"")</f>
        <v/>
      </c>
      <c r="D29" s="23"/>
      <c r="E29" s="23"/>
      <c r="F29" s="23"/>
      <c r="G29" s="23"/>
      <c r="H29" s="23"/>
      <c r="I29" s="23"/>
      <c r="J29" s="17" t="str" cm="1">
        <f t="array" aca="1" ref="J29" ca="1">IF(_xlfn.CONCAT(cfg_sources[[#This Row],[Bestandslocatie]:[REGEX vervangen met]])="","-",DATA.SOURCE($B29,$C29,$D29,$E29,$F29,$G29,$H29,$I29))</f>
        <v>-</v>
      </c>
    </row>
    <row r="30" spans="1:10" x14ac:dyDescent="0.25">
      <c r="A30" s="18"/>
      <c r="B30" s="7"/>
      <c r="C30" s="7" t="str" cm="1">
        <f t="array" aca="1" ref="C30" ca="1">IFERROR(IF(_xlfn.REGEXTEST(INDIRECT(cfg_sources[[#This Row],[Bestandslocatie]]), "://"), "brondata", ""),"")</f>
        <v/>
      </c>
      <c r="D30" s="23"/>
      <c r="E30" s="23"/>
      <c r="F30" s="23"/>
      <c r="G30" s="23"/>
      <c r="H30" s="23"/>
      <c r="I30" s="23"/>
      <c r="J30" s="17" t="str" cm="1">
        <f t="array" aca="1" ref="J30" ca="1">IF(_xlfn.CONCAT(cfg_sources[[#This Row],[Bestandslocatie]:[REGEX vervangen met]])="","-",DATA.SOURCE($B30,$C30,$D30,$E30,$F30,$G30,$H30,$I30))</f>
        <v>-</v>
      </c>
    </row>
    <row r="31" spans="1:10" x14ac:dyDescent="0.25">
      <c r="A31" s="18"/>
      <c r="B31" s="7"/>
      <c r="C31" s="7" t="str" cm="1">
        <f t="array" aca="1" ref="C31" ca="1">IFERROR(IF(_xlfn.REGEXTEST(INDIRECT(cfg_sources[[#This Row],[Bestandslocatie]]), "://"), "brondata", ""),"")</f>
        <v/>
      </c>
      <c r="D31" s="23"/>
      <c r="E31" s="23"/>
      <c r="F31" s="23"/>
      <c r="G31" s="23"/>
      <c r="H31" s="23"/>
      <c r="I31" s="23"/>
      <c r="J31" s="17" t="str" cm="1">
        <f t="array" aca="1" ref="J31" ca="1">IF(_xlfn.CONCAT(cfg_sources[[#This Row],[Bestandslocatie]:[REGEX vervangen met]])="","-",DATA.SOURCE($B31,$C31,$D31,$E31,$F31,$G31,$H31,$I31))</f>
        <v>-</v>
      </c>
    </row>
    <row r="32" spans="1:10" x14ac:dyDescent="0.25">
      <c r="A32" s="18"/>
      <c r="B32" s="7"/>
      <c r="C32" s="7" t="str" cm="1">
        <f t="array" aca="1" ref="C32" ca="1">IFERROR(IF(_xlfn.REGEXTEST(INDIRECT(cfg_sources[[#This Row],[Bestandslocatie]]), "://"), "brondata", ""),"")</f>
        <v/>
      </c>
      <c r="D32" s="23"/>
      <c r="E32" s="23"/>
      <c r="F32" s="23"/>
      <c r="G32" s="23"/>
      <c r="H32" s="23"/>
      <c r="I32" s="23"/>
      <c r="J32" s="17" t="str" cm="1">
        <f t="array" aca="1" ref="J32" ca="1">IF(_xlfn.CONCAT(cfg_sources[[#This Row],[Bestandslocatie]:[REGEX vervangen met]])="","-",DATA.SOURCE($B32,$C32,$D32,$E32,$F32,$G32,$H32,$I32))</f>
        <v>-</v>
      </c>
    </row>
    <row r="33" spans="1:10" x14ac:dyDescent="0.25">
      <c r="A33" s="18"/>
      <c r="B33" s="7"/>
      <c r="C33" s="7" t="str" cm="1">
        <f t="array" aca="1" ref="C33" ca="1">IFERROR(IF(_xlfn.REGEXTEST(INDIRECT(cfg_sources[[#This Row],[Bestandslocatie]]), "://"), "brondata", ""),"")</f>
        <v/>
      </c>
      <c r="D33" s="23"/>
      <c r="E33" s="23"/>
      <c r="F33" s="23"/>
      <c r="G33" s="23"/>
      <c r="H33" s="23"/>
      <c r="I33" s="23"/>
      <c r="J33" s="17" t="str" cm="1">
        <f t="array" aca="1" ref="J33" ca="1">IF(_xlfn.CONCAT(cfg_sources[[#This Row],[Bestandslocatie]:[REGEX vervangen met]])="","-",DATA.SOURCE($B33,$C33,$D33,$E33,$F33,$G33,$H33,$I33))</f>
        <v>-</v>
      </c>
    </row>
    <row r="34" spans="1:10" x14ac:dyDescent="0.25">
      <c r="A34" s="18"/>
      <c r="B34" s="7"/>
      <c r="C34" s="7" t="str" cm="1">
        <f t="array" aca="1" ref="C34" ca="1">IFERROR(IF(_xlfn.REGEXTEST(INDIRECT(cfg_sources[[#This Row],[Bestandslocatie]]), "://"), "brondata", ""),"")</f>
        <v/>
      </c>
      <c r="D34" s="23"/>
      <c r="E34" s="23"/>
      <c r="F34" s="23"/>
      <c r="G34" s="23"/>
      <c r="H34" s="23"/>
      <c r="I34" s="23"/>
      <c r="J34" s="17" t="str" cm="1">
        <f t="array" aca="1" ref="J34" ca="1">IF(_xlfn.CONCAT(cfg_sources[[#This Row],[Bestandslocatie]:[REGEX vervangen met]])="","-",DATA.SOURCE($B34,$C34,$D34,$E34,$F34,$G34,$H34,$I34))</f>
        <v>-</v>
      </c>
    </row>
    <row r="35" spans="1:10" x14ac:dyDescent="0.25">
      <c r="A35" s="18"/>
      <c r="B35" s="7"/>
      <c r="C35" s="7" t="str" cm="1">
        <f t="array" aca="1" ref="C35" ca="1">IFERROR(IF(_xlfn.REGEXTEST(INDIRECT(cfg_sources[[#This Row],[Bestandslocatie]]), "://"), "brondata", ""),"")</f>
        <v/>
      </c>
      <c r="D35" s="23"/>
      <c r="E35" s="23"/>
      <c r="F35" s="23"/>
      <c r="G35" s="23"/>
      <c r="H35" s="23"/>
      <c r="I35" s="23"/>
      <c r="J35" s="17" t="str" cm="1">
        <f t="array" aca="1" ref="J35" ca="1">IF(_xlfn.CONCAT(cfg_sources[[#This Row],[Bestandslocatie]:[REGEX vervangen met]])="","-",DATA.SOURCE($B35,$C35,$D35,$E35,$F35,$G35,$H35,$I35))</f>
        <v>-</v>
      </c>
    </row>
    <row r="36" spans="1:10" x14ac:dyDescent="0.25">
      <c r="A36" s="18"/>
      <c r="B36" s="7"/>
      <c r="C36" s="7" t="str" cm="1">
        <f t="array" aca="1" ref="C36" ca="1">IFERROR(IF(_xlfn.REGEXTEST(INDIRECT(cfg_sources[[#This Row],[Bestandslocatie]]), "://"), "brondata", ""),"")</f>
        <v/>
      </c>
      <c r="D36" s="23"/>
      <c r="E36" s="23"/>
      <c r="F36" s="23"/>
      <c r="G36" s="23"/>
      <c r="H36" s="23"/>
      <c r="I36" s="23"/>
      <c r="J36" s="17" t="str" cm="1">
        <f t="array" aca="1" ref="J36" ca="1">IF(_xlfn.CONCAT(cfg_sources[[#This Row],[Bestandslocatie]:[REGEX vervangen met]])="","-",DATA.SOURCE($B36,$C36,$D36,$E36,$F36,$G36,$H36,$I36))</f>
        <v>-</v>
      </c>
    </row>
    <row r="37" spans="1:10" x14ac:dyDescent="0.25">
      <c r="A37" s="18"/>
      <c r="B37" s="7"/>
      <c r="C37" s="7" t="str" cm="1">
        <f t="array" aca="1" ref="C37" ca="1">IFERROR(IF(_xlfn.REGEXTEST(INDIRECT(cfg_sources[[#This Row],[Bestandslocatie]]), "://"), "brondata", ""),"")</f>
        <v/>
      </c>
      <c r="D37" s="23"/>
      <c r="E37" s="23"/>
      <c r="F37" s="23"/>
      <c r="G37" s="23"/>
      <c r="H37" s="23"/>
      <c r="I37" s="23"/>
      <c r="J37" s="17" t="str" cm="1">
        <f t="array" aca="1" ref="J37" ca="1">IF(_xlfn.CONCAT(cfg_sources[[#This Row],[Bestandslocatie]:[REGEX vervangen met]])="","-",DATA.SOURCE($B37,$C37,$D37,$E37,$F37,$G37,$H37,$I37))</f>
        <v>-</v>
      </c>
    </row>
    <row r="38" spans="1:10" x14ac:dyDescent="0.25">
      <c r="A38" s="18"/>
      <c r="B38" s="7"/>
      <c r="C38" s="7" t="str" cm="1">
        <f t="array" aca="1" ref="C38" ca="1">IFERROR(IF(_xlfn.REGEXTEST(INDIRECT(cfg_sources[[#This Row],[Bestandslocatie]]), "://"), "brondata", ""),"")</f>
        <v/>
      </c>
      <c r="D38" s="23"/>
      <c r="E38" s="23"/>
      <c r="F38" s="23"/>
      <c r="G38" s="23"/>
      <c r="H38" s="23"/>
      <c r="I38" s="23"/>
      <c r="J38" s="17" t="str" cm="1">
        <f t="array" aca="1" ref="J38" ca="1">IF(_xlfn.CONCAT(cfg_sources[[#This Row],[Bestandslocatie]:[REGEX vervangen met]])="","-",DATA.SOURCE($B38,$C38,$D38,$E38,$F38,$G38,$H38,$I38))</f>
        <v>-</v>
      </c>
    </row>
    <row r="39" spans="1:10" x14ac:dyDescent="0.25">
      <c r="A39" s="18"/>
      <c r="B39" s="7"/>
      <c r="C39" s="7" t="str" cm="1">
        <f t="array" aca="1" ref="C39" ca="1">IFERROR(IF(_xlfn.REGEXTEST(INDIRECT(cfg_sources[[#This Row],[Bestandslocatie]]), "://"), "brondata", ""),"")</f>
        <v/>
      </c>
      <c r="D39" s="23"/>
      <c r="E39" s="23"/>
      <c r="F39" s="23"/>
      <c r="G39" s="23"/>
      <c r="H39" s="23"/>
      <c r="I39" s="23"/>
      <c r="J39" s="17" t="str" cm="1">
        <f t="array" aca="1" ref="J39" ca="1">IF(_xlfn.CONCAT(cfg_sources[[#This Row],[Bestandslocatie]:[REGEX vervangen met]])="","-",DATA.SOURCE($B39,$C39,$D39,$E39,$F39,$G39,$H39,$I39))</f>
        <v>-</v>
      </c>
    </row>
    <row r="40" spans="1:10" x14ac:dyDescent="0.25">
      <c r="A40" s="18"/>
      <c r="B40" s="7"/>
      <c r="C40" s="7" t="str" cm="1">
        <f t="array" aca="1" ref="C40" ca="1">IFERROR(IF(_xlfn.REGEXTEST(INDIRECT(cfg_sources[[#This Row],[Bestandslocatie]]), "://"), "brondata", ""),"")</f>
        <v/>
      </c>
      <c r="D40" s="23"/>
      <c r="E40" s="23"/>
      <c r="F40" s="23"/>
      <c r="G40" s="23"/>
      <c r="H40" s="23"/>
      <c r="I40" s="23"/>
      <c r="J40" s="17" t="str" cm="1">
        <f t="array" aca="1" ref="J40" ca="1">IF(_xlfn.CONCAT(cfg_sources[[#This Row],[Bestandslocatie]:[REGEX vervangen met]])="","-",DATA.SOURCE($B40,$C40,$D40,$E40,$F40,$G40,$H40,$I40))</f>
        <v>-</v>
      </c>
    </row>
    <row r="41" spans="1:10" x14ac:dyDescent="0.25">
      <c r="A41" s="18"/>
      <c r="B41" s="7"/>
      <c r="C41" s="7" t="str" cm="1">
        <f t="array" aca="1" ref="C41" ca="1">IFERROR(IF(_xlfn.REGEXTEST(INDIRECT(cfg_sources[[#This Row],[Bestandslocatie]]), "://"), "brondata", ""),"")</f>
        <v/>
      </c>
      <c r="D41" s="23"/>
      <c r="E41" s="23"/>
      <c r="F41" s="23"/>
      <c r="G41" s="23"/>
      <c r="H41" s="23"/>
      <c r="I41" s="23"/>
      <c r="J41" s="17" t="str" cm="1">
        <f t="array" aca="1" ref="J41" ca="1">IF(_xlfn.CONCAT(cfg_sources[[#This Row],[Bestandslocatie]:[REGEX vervangen met]])="","-",DATA.SOURCE($B41,$C41,$D41,$E41,$F41,$G41,$H41,$I41))</f>
        <v>-</v>
      </c>
    </row>
    <row r="42" spans="1:10" x14ac:dyDescent="0.25">
      <c r="A42" s="18"/>
      <c r="B42" s="7"/>
      <c r="C42" s="7" t="str" cm="1">
        <f t="array" aca="1" ref="C42" ca="1">IFERROR(IF(_xlfn.REGEXTEST(INDIRECT(cfg_sources[[#This Row],[Bestandslocatie]]), "://"), "brondata", ""),"")</f>
        <v/>
      </c>
      <c r="D42" s="23"/>
      <c r="E42" s="23"/>
      <c r="F42" s="23"/>
      <c r="G42" s="23"/>
      <c r="H42" s="23"/>
      <c r="I42" s="23"/>
      <c r="J42" s="17" t="str" cm="1">
        <f t="array" aca="1" ref="J42" ca="1">IF(_xlfn.CONCAT(cfg_sources[[#This Row],[Bestandslocatie]:[REGEX vervangen met]])="","-",DATA.SOURCE($B42,$C42,$D42,$E42,$F42,$G42,$H42,$I42))</f>
        <v>-</v>
      </c>
    </row>
    <row r="43" spans="1:10" x14ac:dyDescent="0.25">
      <c r="A43" s="18"/>
      <c r="B43" s="7"/>
      <c r="C43" s="7" t="str" cm="1">
        <f t="array" aca="1" ref="C43" ca="1">IFERROR(IF(_xlfn.REGEXTEST(INDIRECT(cfg_sources[[#This Row],[Bestandslocatie]]), "://"), "brondata", ""),"")</f>
        <v/>
      </c>
      <c r="D43" s="23"/>
      <c r="E43" s="23"/>
      <c r="F43" s="23"/>
      <c r="G43" s="23"/>
      <c r="H43" s="23"/>
      <c r="I43" s="23"/>
      <c r="J43" s="17" t="str" cm="1">
        <f t="array" aca="1" ref="J43" ca="1">IF(_xlfn.CONCAT(cfg_sources[[#This Row],[Bestandslocatie]:[REGEX vervangen met]])="","-",DATA.SOURCE($B43,$C43,$D43,$E43,$F43,$G43,$H43,$I43))</f>
        <v>-</v>
      </c>
    </row>
    <row r="44" spans="1:10" x14ac:dyDescent="0.25">
      <c r="A44" s="18"/>
      <c r="B44" s="7"/>
      <c r="C44" s="7" t="str" cm="1">
        <f t="array" aca="1" ref="C44" ca="1">IFERROR(IF(_xlfn.REGEXTEST(INDIRECT(cfg_sources[[#This Row],[Bestandslocatie]]), "://"), "brondata", ""),"")</f>
        <v/>
      </c>
      <c r="D44" s="23"/>
      <c r="E44" s="23"/>
      <c r="F44" s="23"/>
      <c r="G44" s="23"/>
      <c r="H44" s="23"/>
      <c r="I44" s="23"/>
      <c r="J44" s="17" t="str" cm="1">
        <f t="array" aca="1" ref="J44" ca="1">IF(_xlfn.CONCAT(cfg_sources[[#This Row],[Bestandslocatie]:[REGEX vervangen met]])="","-",DATA.SOURCE($B44,$C44,$D44,$E44,$F44,$G44,$H44,$I44))</f>
        <v>-</v>
      </c>
    </row>
    <row r="45" spans="1:10" x14ac:dyDescent="0.25">
      <c r="A45" s="19"/>
      <c r="B45" s="7"/>
      <c r="C45" s="7" t="str" cm="1">
        <f t="array" aca="1" ref="C45" ca="1">IFERROR(IF(_xlfn.REGEXTEST(INDIRECT(cfg_sources[[#This Row],[Bestandslocatie]]), "://"), "brondata", ""),"")</f>
        <v/>
      </c>
      <c r="D45" s="20"/>
      <c r="E45" s="20"/>
      <c r="F45" s="20"/>
      <c r="G45" s="20"/>
      <c r="H45" s="20"/>
      <c r="I45" s="20"/>
      <c r="J45" s="17" t="str" cm="1">
        <f t="array" aca="1" ref="J45" ca="1">IF(_xlfn.CONCAT(cfg_sources[[#This Row],[Bestandslocatie]:[REGEX vervangen met]])="","-",DATA.SOURCE($B45,$C45,$D45,$E45,$F45,$G45,$H45,$I45))</f>
        <v>-</v>
      </c>
    </row>
    <row r="47" spans="1:10" x14ac:dyDescent="0.25">
      <c r="A47" s="28" t="s">
        <v>13</v>
      </c>
      <c r="B47" s="28"/>
    </row>
  </sheetData>
  <mergeCells count="4">
    <mergeCell ref="A4:B4"/>
    <mergeCell ref="A18:B18"/>
    <mergeCell ref="A47:B47"/>
    <mergeCell ref="A1:I1"/>
  </mergeCells>
  <phoneticPr fontId="7" type="noConversion"/>
  <dataValidations count="1">
    <dataValidation type="list" allowBlank="1" showInputMessage="1" showErrorMessage="1" sqref="B21:B45" xr:uid="{4E7AF571-64EE-40E7-9CE4-9C2725871095}">
      <formula1>cfg_list_paths</formula1>
    </dataValidation>
  </dataValidations>
  <hyperlinks>
    <hyperlink ref="A2" r:id="rId1" xr:uid="{18E1F197-4AEC-4917-9ABF-693E240B6E60}"/>
  </hyperlinks>
  <pageMargins left="0.7" right="0.7" top="0.75" bottom="0.75" header="0.3" footer="0.3"/>
  <pageSetup paperSize="9" orientation="portrait"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9EB0A-3C17-4DDE-B98F-92020D2A4913}">
  <dimension ref="A1:P51"/>
  <sheetViews>
    <sheetView workbookViewId="0">
      <selection activeCell="A2" sqref="A2"/>
    </sheetView>
  </sheetViews>
  <sheetFormatPr defaultRowHeight="15" x14ac:dyDescent="0.25"/>
  <cols>
    <col min="1" max="1" width="12.5703125" bestFit="1" customWidth="1"/>
    <col min="2" max="2" width="27.5703125" bestFit="1" customWidth="1"/>
    <col min="3" max="3" width="16.85546875" bestFit="1" customWidth="1"/>
    <col min="4" max="4" width="10.85546875" bestFit="1" customWidth="1"/>
    <col min="5" max="5" width="15" bestFit="1" customWidth="1"/>
    <col min="6" max="6" width="16.7109375" bestFit="1" customWidth="1"/>
    <col min="7" max="7" width="11.28515625" bestFit="1" customWidth="1"/>
    <col min="8" max="8" width="12.28515625" bestFit="1" customWidth="1"/>
    <col min="9" max="9" width="13.28515625" bestFit="1" customWidth="1"/>
    <col min="10" max="10" width="21.28515625" bestFit="1" customWidth="1"/>
    <col min="11" max="11" width="22.28515625" bestFit="1" customWidth="1"/>
    <col min="12" max="12" width="16.140625" bestFit="1" customWidth="1"/>
    <col min="13" max="14" width="14.140625" bestFit="1" customWidth="1"/>
    <col min="15" max="15" width="8.85546875" bestFit="1" customWidth="1"/>
    <col min="16" max="16" width="9" bestFit="1" customWidth="1"/>
  </cols>
  <sheetData>
    <row r="1" spans="1:16" x14ac:dyDescent="0.25">
      <c r="A1" t="s">
        <v>26</v>
      </c>
      <c r="B1" t="s">
        <v>25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0</v>
      </c>
    </row>
    <row r="2" spans="1:16" x14ac:dyDescent="0.25">
      <c r="A2" t="s">
        <v>52</v>
      </c>
      <c r="I2" s="26"/>
      <c r="J2" s="26"/>
    </row>
    <row r="3" spans="1:16" x14ac:dyDescent="0.25">
      <c r="I3" s="26"/>
      <c r="J3" s="26"/>
    </row>
    <row r="4" spans="1:16" x14ac:dyDescent="0.25">
      <c r="I4" s="26"/>
      <c r="J4" s="26"/>
    </row>
    <row r="5" spans="1:16" x14ac:dyDescent="0.25">
      <c r="I5" s="26"/>
      <c r="J5" s="26"/>
    </row>
    <row r="6" spans="1:16" x14ac:dyDescent="0.25">
      <c r="I6" s="26"/>
      <c r="J6" s="26"/>
    </row>
    <row r="7" spans="1:16" x14ac:dyDescent="0.25">
      <c r="I7" s="26"/>
      <c r="J7" s="26"/>
    </row>
    <row r="8" spans="1:16" x14ac:dyDescent="0.25">
      <c r="I8" s="26"/>
      <c r="J8" s="26"/>
    </row>
    <row r="9" spans="1:16" x14ac:dyDescent="0.25">
      <c r="I9" s="26"/>
      <c r="J9" s="26"/>
    </row>
    <row r="10" spans="1:16" x14ac:dyDescent="0.25">
      <c r="I10" s="26"/>
      <c r="J10" s="26"/>
    </row>
    <row r="11" spans="1:16" x14ac:dyDescent="0.25">
      <c r="I11" s="26"/>
      <c r="J11" s="26"/>
    </row>
    <row r="12" spans="1:16" x14ac:dyDescent="0.25">
      <c r="I12" s="26"/>
      <c r="J12" s="26"/>
    </row>
    <row r="13" spans="1:16" x14ac:dyDescent="0.25">
      <c r="I13" s="26"/>
      <c r="J13" s="26"/>
    </row>
    <row r="14" spans="1:16" x14ac:dyDescent="0.25">
      <c r="I14" s="26"/>
      <c r="J14" s="26"/>
    </row>
    <row r="15" spans="1:16" x14ac:dyDescent="0.25">
      <c r="I15" s="26"/>
      <c r="J15" s="26"/>
    </row>
    <row r="16" spans="1:16" x14ac:dyDescent="0.25">
      <c r="I16" s="26"/>
      <c r="J16" s="26"/>
    </row>
    <row r="17" spans="9:10" x14ac:dyDescent="0.25">
      <c r="I17" s="26"/>
      <c r="J17" s="26"/>
    </row>
    <row r="18" spans="9:10" x14ac:dyDescent="0.25">
      <c r="I18" s="26"/>
      <c r="J18" s="26"/>
    </row>
    <row r="19" spans="9:10" x14ac:dyDescent="0.25">
      <c r="I19" s="26"/>
      <c r="J19" s="26"/>
    </row>
    <row r="20" spans="9:10" x14ac:dyDescent="0.25">
      <c r="I20" s="26"/>
      <c r="J20" s="26"/>
    </row>
    <row r="21" spans="9:10" x14ac:dyDescent="0.25">
      <c r="I21" s="26"/>
      <c r="J21" s="26"/>
    </row>
    <row r="22" spans="9:10" x14ac:dyDescent="0.25">
      <c r="I22" s="26"/>
      <c r="J22" s="26"/>
    </row>
    <row r="23" spans="9:10" x14ac:dyDescent="0.25">
      <c r="I23" s="26"/>
      <c r="J23" s="26"/>
    </row>
    <row r="24" spans="9:10" x14ac:dyDescent="0.25">
      <c r="I24" s="26"/>
      <c r="J24" s="26"/>
    </row>
    <row r="25" spans="9:10" x14ac:dyDescent="0.25">
      <c r="I25" s="26"/>
      <c r="J25" s="26"/>
    </row>
    <row r="26" spans="9:10" x14ac:dyDescent="0.25">
      <c r="I26" s="26"/>
      <c r="J26" s="26"/>
    </row>
    <row r="27" spans="9:10" x14ac:dyDescent="0.25">
      <c r="I27" s="26"/>
      <c r="J27" s="26"/>
    </row>
    <row r="28" spans="9:10" x14ac:dyDescent="0.25">
      <c r="I28" s="26"/>
      <c r="J28" s="26"/>
    </row>
    <row r="29" spans="9:10" x14ac:dyDescent="0.25">
      <c r="I29" s="26"/>
      <c r="J29" s="26"/>
    </row>
    <row r="30" spans="9:10" x14ac:dyDescent="0.25">
      <c r="I30" s="26"/>
      <c r="J30" s="26"/>
    </row>
    <row r="31" spans="9:10" x14ac:dyDescent="0.25">
      <c r="I31" s="26"/>
      <c r="J31" s="26"/>
    </row>
    <row r="32" spans="9:10" x14ac:dyDescent="0.25">
      <c r="I32" s="26"/>
      <c r="J32" s="26"/>
    </row>
    <row r="33" spans="9:10" x14ac:dyDescent="0.25">
      <c r="I33" s="26"/>
      <c r="J33" s="26"/>
    </row>
    <row r="34" spans="9:10" x14ac:dyDescent="0.25">
      <c r="I34" s="26"/>
      <c r="J34" s="26"/>
    </row>
    <row r="35" spans="9:10" x14ac:dyDescent="0.25">
      <c r="I35" s="26"/>
      <c r="J35" s="26"/>
    </row>
    <row r="36" spans="9:10" x14ac:dyDescent="0.25">
      <c r="I36" s="26"/>
      <c r="J36" s="26"/>
    </row>
    <row r="37" spans="9:10" x14ac:dyDescent="0.25">
      <c r="I37" s="26"/>
      <c r="J37" s="26"/>
    </row>
    <row r="38" spans="9:10" x14ac:dyDescent="0.25">
      <c r="I38" s="26"/>
      <c r="J38" s="26"/>
    </row>
    <row r="39" spans="9:10" x14ac:dyDescent="0.25">
      <c r="I39" s="26"/>
      <c r="J39" s="26"/>
    </row>
    <row r="40" spans="9:10" x14ac:dyDescent="0.25">
      <c r="I40" s="26"/>
      <c r="J40" s="26"/>
    </row>
    <row r="41" spans="9:10" x14ac:dyDescent="0.25">
      <c r="I41" s="26"/>
      <c r="J41" s="26"/>
    </row>
    <row r="42" spans="9:10" x14ac:dyDescent="0.25">
      <c r="I42" s="26"/>
      <c r="J42" s="26"/>
    </row>
    <row r="43" spans="9:10" x14ac:dyDescent="0.25">
      <c r="I43" s="26"/>
      <c r="J43" s="26"/>
    </row>
    <row r="44" spans="9:10" x14ac:dyDescent="0.25">
      <c r="I44" s="26"/>
      <c r="J44" s="26"/>
    </row>
    <row r="45" spans="9:10" x14ac:dyDescent="0.25">
      <c r="I45" s="26"/>
      <c r="J45" s="26"/>
    </row>
    <row r="46" spans="9:10" x14ac:dyDescent="0.25">
      <c r="I46" s="26"/>
      <c r="J46" s="26"/>
    </row>
    <row r="47" spans="9:10" x14ac:dyDescent="0.25">
      <c r="I47" s="26"/>
      <c r="J47" s="26"/>
    </row>
    <row r="48" spans="9:10" x14ac:dyDescent="0.25">
      <c r="I48" s="26"/>
      <c r="J48" s="26"/>
    </row>
    <row r="49" spans="9:10" x14ac:dyDescent="0.25">
      <c r="I49" s="26"/>
      <c r="J49" s="26"/>
    </row>
    <row r="50" spans="9:10" x14ac:dyDescent="0.25">
      <c r="I50" s="26"/>
      <c r="J50" s="26"/>
    </row>
    <row r="51" spans="9:10" x14ac:dyDescent="0.25">
      <c r="I51" s="26"/>
      <c r="J51" s="26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C745B-2541-4AD4-8660-A588F97899F0}">
  <dimension ref="A1:P2"/>
  <sheetViews>
    <sheetView workbookViewId="0">
      <selection activeCell="A2" sqref="A2"/>
    </sheetView>
  </sheetViews>
  <sheetFormatPr defaultRowHeight="15" x14ac:dyDescent="0.25"/>
  <cols>
    <col min="1" max="1" width="12.5703125" bestFit="1" customWidth="1"/>
    <col min="2" max="2" width="27.5703125" bestFit="1" customWidth="1"/>
    <col min="3" max="3" width="16.85546875" bestFit="1" customWidth="1"/>
    <col min="4" max="4" width="10.85546875" bestFit="1" customWidth="1"/>
    <col min="5" max="5" width="15" bestFit="1" customWidth="1"/>
    <col min="6" max="6" width="16.7109375" bestFit="1" customWidth="1"/>
    <col min="7" max="7" width="11.28515625" bestFit="1" customWidth="1"/>
    <col min="8" max="8" width="12.28515625" bestFit="1" customWidth="1"/>
    <col min="9" max="9" width="13.28515625" bestFit="1" customWidth="1"/>
    <col min="10" max="10" width="21.28515625" bestFit="1" customWidth="1"/>
    <col min="11" max="11" width="22.28515625" bestFit="1" customWidth="1"/>
    <col min="12" max="12" width="16.140625" bestFit="1" customWidth="1"/>
    <col min="13" max="14" width="14.140625" bestFit="1" customWidth="1"/>
    <col min="15" max="15" width="8.85546875" bestFit="1" customWidth="1"/>
    <col min="16" max="16" width="9" bestFit="1" customWidth="1"/>
  </cols>
  <sheetData>
    <row r="1" spans="1:16" x14ac:dyDescent="0.25">
      <c r="A1" t="s">
        <v>26</v>
      </c>
      <c r="B1" t="s">
        <v>25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0</v>
      </c>
    </row>
    <row r="2" spans="1:16" x14ac:dyDescent="0.25">
      <c r="A2" t="s">
        <v>52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96395-4A58-4899-B5CF-2180F7FCAE3D}">
  <dimension ref="A1:P2"/>
  <sheetViews>
    <sheetView workbookViewId="0">
      <selection activeCell="A2" sqref="A2"/>
    </sheetView>
  </sheetViews>
  <sheetFormatPr defaultRowHeight="15" x14ac:dyDescent="0.25"/>
  <cols>
    <col min="1" max="1" width="12.5703125" bestFit="1" customWidth="1"/>
    <col min="2" max="2" width="27.5703125" bestFit="1" customWidth="1"/>
    <col min="3" max="3" width="16.85546875" bestFit="1" customWidth="1"/>
    <col min="4" max="4" width="10.85546875" bestFit="1" customWidth="1"/>
    <col min="5" max="5" width="15" bestFit="1" customWidth="1"/>
    <col min="6" max="6" width="16.7109375" bestFit="1" customWidth="1"/>
    <col min="7" max="7" width="11.28515625" bestFit="1" customWidth="1"/>
    <col min="8" max="8" width="12.28515625" bestFit="1" customWidth="1"/>
    <col min="9" max="9" width="13.28515625" bestFit="1" customWidth="1"/>
    <col min="10" max="10" width="21.28515625" bestFit="1" customWidth="1"/>
    <col min="11" max="11" width="22.28515625" bestFit="1" customWidth="1"/>
    <col min="12" max="12" width="16.140625" bestFit="1" customWidth="1"/>
    <col min="13" max="14" width="14.140625" bestFit="1" customWidth="1"/>
    <col min="15" max="15" width="8.85546875" bestFit="1" customWidth="1"/>
    <col min="16" max="16" width="9" bestFit="1" customWidth="1"/>
    <col min="17" max="17" width="11.42578125" bestFit="1" customWidth="1"/>
    <col min="18" max="18" width="27.5703125" bestFit="1" customWidth="1"/>
    <col min="19" max="19" width="16.85546875" bestFit="1" customWidth="1"/>
    <col min="20" max="20" width="11.42578125" bestFit="1" customWidth="1"/>
    <col min="21" max="21" width="12.140625" bestFit="1" customWidth="1"/>
    <col min="22" max="22" width="14" bestFit="1" customWidth="1"/>
    <col min="23" max="23" width="11.42578125" bestFit="1" customWidth="1"/>
    <col min="24" max="24" width="12.28515625" bestFit="1" customWidth="1"/>
    <col min="25" max="25" width="11.42578125" bestFit="1" customWidth="1"/>
    <col min="26" max="26" width="18.85546875" bestFit="1" customWidth="1"/>
    <col min="27" max="27" width="19.5703125" bestFit="1" customWidth="1"/>
    <col min="28" max="28" width="13.7109375" bestFit="1" customWidth="1"/>
    <col min="29" max="32" width="12.42578125" bestFit="1" customWidth="1"/>
  </cols>
  <sheetData>
    <row r="1" spans="1:16" x14ac:dyDescent="0.25">
      <c r="A1" t="s">
        <v>26</v>
      </c>
      <c r="B1" t="s">
        <v>25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0</v>
      </c>
    </row>
    <row r="2" spans="1:16" x14ac:dyDescent="0.25">
      <c r="A2" t="s">
        <v>52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45FF5C-638F-46AD-A291-4977015A83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4</vt:i4>
      </vt:variant>
      <vt:variant>
        <vt:lpstr>Benoemde bereiken</vt:lpstr>
      </vt:variant>
      <vt:variant>
        <vt:i4>5</vt:i4>
      </vt:variant>
    </vt:vector>
  </HeadingPairs>
  <TitlesOfParts>
    <vt:vector size="9" baseType="lpstr">
      <vt:lpstr>config</vt:lpstr>
      <vt:lpstr>Demo CSV</vt:lpstr>
      <vt:lpstr>Demo JSON</vt:lpstr>
      <vt:lpstr>Demo XLS</vt:lpstr>
      <vt:lpstr>csv_projects</vt:lpstr>
      <vt:lpstr>json_projects</vt:lpstr>
      <vt:lpstr>pad_downloads</vt:lpstr>
      <vt:lpstr>pad_dynamisch</vt:lpstr>
      <vt:lpstr>xls_projects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Goos</dc:creator>
  <cp:lastModifiedBy>Steven Goos</cp:lastModifiedBy>
  <dcterms:created xsi:type="dcterms:W3CDTF">2026-09-23T07:13:41Z</dcterms:created>
  <dcterms:modified xsi:type="dcterms:W3CDTF">2026-09-27T17:24:33Z</dcterms:modified>
</cp:coreProperties>
</file>